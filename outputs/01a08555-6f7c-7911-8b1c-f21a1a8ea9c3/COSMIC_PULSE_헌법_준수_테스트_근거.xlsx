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b7097d364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afed52ecf544e19"/>
    <x:sheet xmlns:r="http://schemas.openxmlformats.org/officeDocument/2006/relationships" name="기준별 검증" sheetId="2" r:id="R58721c4a029c4e52"/>
    <x:sheet xmlns:r="http://schemas.openxmlformats.org/officeDocument/2006/relationships" name="실제 데이터" sheetId="3" r:id="Rdd2c1a25f7b5454e"/>
    <x:sheet xmlns:r="http://schemas.openxmlformats.org/officeDocument/2006/relationships" name="테스트 로그" sheetId="4" r:id="R726fd1529ac4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yyyy-mm-dd"/>
    <x:numFmt numFmtId="203" formatCode="yyyy-mm-dd hh:mm:ss"/>
  </x:numFmts>
  <x:fonts count="14">
    <x:font>
      <x:sz val="11"/>
      <x:name val="Carlito"/>
    </x:font>
    <x:font>
      <x:sz val="10"/>
      <x:color rgb="FF111314"/>
      <x:name val="Arial"/>
    </x:font>
    <x:font>
      <x:b/>
      <x:sz val="16"/>
      <x:color rgb="FF111314"/>
      <x:name val="Arial"/>
    </x:font>
    <x:font>
      <x:sz val="9"/>
      <x:color rgb="FF626966"/>
      <x:name val="Arial"/>
    </x:font>
    <x:font>
      <x:b/>
      <x:sz val="10"/>
      <x:color rgb="FFFFFFFF"/>
      <x:name val="Arial"/>
    </x:font>
    <x:font>
      <x:b/>
      <x:sz val="10"/>
      <x:color rgb="FF111314"/>
      <x:name val="Arial"/>
    </x:font>
    <x:font>
      <x:b/>
      <x:sz val="11"/>
      <x:color rgb="FF8A5700"/>
      <x:name val="Arial"/>
    </x:font>
    <x:font>
      <x:sz val="10"/>
      <x:color rgb="FF8A5700"/>
      <x:name val="Arial"/>
    </x:font>
    <x:font>
      <x:b/>
      <x:sz val="9"/>
      <x:color rgb="FF626966"/>
      <x:name val="Arial"/>
    </x:font>
    <x:font>
      <x:i/>
      <x:sz val="9"/>
      <x:color rgb="FF626966"/>
      <x:name val="Arial"/>
    </x:font>
    <x:font>
      <x:b/>
      <x:sz val="10"/>
      <x:color rgb="FF8A5700"/>
      <x:name val="Arial"/>
    </x:font>
    <x:font>
      <x:b/>
      <x:sz val="9"/>
      <x:color rgb="FF8A5700"/>
      <x:name val="Arial"/>
    </x:font>
    <x:font>
      <x:sz val="9"/>
      <x:color rgb="FF8A5700"/>
      <x:name val="Arial"/>
    </x:font>
    <x:font>
      <x:b/>
      <x:sz val="10"/>
      <x:color rgb="FF087A4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11314"/>
      </x:patternFill>
    </x:fill>
    <x:fill>
      <x:patternFill patternType="solid">
        <x:fgColor rgb="FFE7E9E6"/>
      </x:patternFill>
    </x:fill>
    <x:fill>
      <x:patternFill patternType="solid">
        <x:fgColor rgb="FFF4F4ED"/>
      </x:patternFill>
    </x:fill>
    <x:fill>
      <x:patternFill patternType="solid">
        <x:fgColor rgb="FFFFF0C2"/>
      </x:patternFill>
    </x:fill>
    <x:fill>
      <x:patternFill patternType="solid">
        <x:fgColor rgb="FF4263EB"/>
      </x:patternFill>
    </x:fill>
    <x:fill>
      <x:patternFill patternType="solid">
        <x:fgColor rgb="FFDDF7EA"/>
      </x:patternFill>
    </x:fill>
    <x:fill>
      <x:patternFill patternType="solid">
        <x:fgColor rgb="FFDDF7EA"/>
      </x:patternFill>
    </x:fill>
  </x:fills>
  <x:borders count="4">
    <x:border/>
    <x:border>
      <x:bottom style="thin">
        <x:color rgb="FF111314"/>
      </x:bottom>
    </x:border>
    <x:border>
      <x:top style="thin">
        <x:color rgb="FF111314"/>
      </x:top>
    </x:border>
    <x:border>
      <x:bottom style="thin">
        <x:color rgb="FFD5D9D5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0" fontId="1" fillId="0" borderId="3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1" fillId="0" borderId="3" xfId="0" applyNumberFormat="1" applyFont="1" applyFill="1" applyBorder="1"/>
    <x:xf numFmtId="203" fontId="1" fillId="0" borderId="3" xfId="0" applyNumberFormat="1" applyFont="1" applyFill="1" applyBorder="1"/>
    <x:xf numFmtId="201" fontId="1" fillId="0" borderId="3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5" borderId="3" xfId="0" applyNumberFormat="1" applyFont="1" applyFill="1" applyBorder="1"/>
    <x:xf numFmtId="0" fontId="10" fillId="5" borderId="3" xfId="0" applyNumberFormat="1" applyFont="1" applyFill="1" applyBorder="1"/>
    <x:xf numFmtId="0" fontId="11" fillId="0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1" fillId="0" xfId="0" applyNumberFormat="1" applyFont="1" applyFill="1" applyBorder="0"/>
    <x:xf numFmtId="0" fontId="1" fillId="7" xfId="0" applyNumberFormat="1" applyFont="1" applyFill="1" applyBorder="0"/>
    <x:xf numFmtId="0" fontId="1" fillId="7" borderId="3" xfId="0" applyNumberFormat="1" applyFont="1" applyFill="1" applyBorder="1"/>
    <x:xf numFmtId="0" fontId="13" fillId="7" xfId="0" applyNumberFormat="1" applyFont="1" applyFill="1" applyBorder="0"/>
    <x:xf numFmtId="0" fontId="13" fillId="7" borderId="3" xfId="0" applyNumberFormat="1" applyFont="1" applyFill="1" applyBorder="1"/>
    <x:xf numFmtId="0" fontId="13" fillId="7" xfId="0" applyNumberFormat="1" applyFont="1" applyFill="1" applyBorder="0" applyAlignment="1">
      <x:alignment horizontal="center"/>
    </x:xf>
    <x:xf numFmtId="0" fontId="13" fillId="7" borderId="3" xfId="0" applyNumberFormat="1" applyFont="1" applyFill="1" applyBorder="1" applyAlignment="1">
      <x:alignment horizontal="center"/>
    </x:xf>
    <x:xf numFmtId="0" fontId="13" fillId="8" xfId="0" applyNumberFormat="1" applyFont="1" applyFill="1" applyBorder="0" applyAlignment="1">
      <x:alignment horizontal="center"/>
    </x:xf>
    <x:xf numFmtId="0" fontId="13" fillId="8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087A4B"/>
      </x:font>
      <x:fill>
        <x:patternFill>
          <x:bgColor rgb="FFDDF7EA"/>
        </x:patternFill>
      </x:fill>
    </x:dxf>
    <x:dxf>
      <x:font>
        <x:b/>
        <x:color rgb="FF8A5700"/>
      </x:font>
      <x:fill>
        <x:patternFill>
          <x:bgColor rgb="FFFFF0C2"/>
        </x:patternFill>
      </x:fill>
    </x:dxf>
    <x:dxf>
      <x:font>
        <x:b/>
        <x:color rgb="FFA32626"/>
      </x:font>
      <x:fill>
        <x:patternFill>
          <x:bgColor rgb="FFFCE0E0"/>
        </x:patternFill>
      </x:fill>
    </x:dxf>
    <x:dxf>
      <x:font>
        <x:b/>
        <x:color rgb="FF087A4B"/>
      </x:font>
      <x:fill>
        <x:patternFill>
          <x:bgColor rgb="FFDDF7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481cf46504365" /><Relationship Type="http://schemas.openxmlformats.org/officeDocument/2006/relationships/theme" Target="/xl/theme/theme1.xml" Id="R1db6dfdc2f814daa" /><Relationship Type="http://schemas.openxmlformats.org/officeDocument/2006/relationships/sharedStrings" Target="/xl/sharedStrings.xml" Id="Ra9a1cb6851104b38" /><Relationship Type="http://schemas.openxmlformats.org/officeDocument/2006/relationships/worksheet" Target="/xl/worksheets/sheet1.xml" Id="R8afed52ecf544e19" /><Relationship Type="http://schemas.openxmlformats.org/officeDocument/2006/relationships/worksheet" Target="/xl/worksheets/sheet2.xml" Id="R58721c4a029c4e52" /><Relationship Type="http://schemas.openxmlformats.org/officeDocument/2006/relationships/worksheet" Target="/xl/worksheets/sheet3.xml" Id="Rdd2c1a25f7b5454e" /><Relationship Type="http://schemas.openxmlformats.org/officeDocument/2006/relationships/worksheet" Target="/xl/worksheets/sheet4.xml" Id="R726fd1529ac44c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11314"/>
  </x:sheetPr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15" hidden="0" customWidth="1"/>
    <x:col min="4" max="4" width="31" hidden="0" customWidth="1"/>
    <x:col min="5" max="5" width="15" hidden="0" customWidth="1"/>
    <x:col min="6" max="6" width="15" hidden="0" customWidth="1"/>
    <x:col min="7" max="7" width="17" hidden="0" customWidth="1"/>
    <x:col min="8" max="8" width="24" hidden="0" customWidth="1"/>
  </x:cols>
  <x:sheetData>
    <x:row r="1">
      <x:c r="A1" s="51"/>
      <x:c r="B1" s="51"/>
      <x:c r="C1" s="51"/>
      <x:c r="D1" s="51"/>
      <x:c r="E1" s="51"/>
      <x:c r="F1" s="51"/>
      <x:c r="G1" s="51"/>
      <x:c r="H1" s="51"/>
      <x:c r="I1" s="1"/>
      <x:c r="J1" s="1"/>
      <x:c r="K1" s="1"/>
      <x:c r="L1" s="1"/>
      <x:c r="M1" s="1"/>
      <x:c r="N1" s="1"/>
    </x:row>
    <x:row r="2">
      <x:c r="A2" s="52" t="str">
        <x:v>COSMIC PULSE 헌법 준수 테스트</x:v>
      </x:c>
      <x:c r="B2" s="51"/>
      <x:c r="C2" s="51"/>
      <x:c r="D2" s="51"/>
      <x:c r="E2" s="51"/>
      <x:c r="F2" s="51"/>
      <x:c r="G2" s="51"/>
      <x:c r="H2" s="51"/>
      <x:c r="I2" s="1"/>
      <x:c r="J2" s="1"/>
      <x:c r="K2" s="1"/>
      <x:c r="L2" s="1"/>
      <x:c r="M2" s="1"/>
      <x:c r="N2" s="1"/>
    </x:row>
    <x:row r="3">
      <x:c r="A3" s="53"/>
      <x:c r="B3" s="53"/>
      <x:c r="C3" s="53"/>
      <x:c r="D3" s="53"/>
      <x:c r="E3" s="53"/>
      <x:c r="F3" s="53"/>
      <x:c r="G3" s="53"/>
      <x:c r="H3" s="53"/>
      <x:c r="I3" s="1"/>
      <x:c r="J3" s="1"/>
      <x:c r="K3" s="1"/>
      <x:c r="L3" s="1"/>
      <x:c r="M3" s="1"/>
      <x:c r="N3" s="1"/>
    </x:row>
    <x:row r="4">
      <x:c r="A4" s="54" t="str">
        <x:v>검증일</x:v>
      </x:c>
      <x:c r="B4" s="54" t="str">
        <x:v>2026-09-10 KST</x:v>
      </x:c>
      <x:c r="C4" s="54" t="str">
        <x:v>프로젝트</x:v>
      </x:c>
      <x:c r="D4" s="54" t="str">
        <x:v>real_info_board</x:v>
      </x:c>
      <x:c r="E4" s="54" t="str">
        <x:v>검증 코드 commit</x:v>
      </x:c>
      <x:c r="F4" s="54" t="str">
        <x:v>fe64094</x:v>
      </x:c>
      <x:c r="G4" s="54" t="str">
        <x:v>헌법 SHA-256</x:v>
      </x:c>
      <x:c r="H4" s="54" t="str">
        <x:v>CBA16EB9…59CE85C</x:v>
      </x:c>
      <x:c r="I4" s="1"/>
      <x:c r="J4" s="1"/>
      <x:c r="K4" s="1"/>
      <x:c r="L4" s="1"/>
      <x:c r="M4" s="1"/>
      <x:c r="N4" s="1"/>
    </x:row>
    <x:row r="5">
      <x:c r="A5" s="51"/>
      <x:c r="B5" s="51"/>
      <x:c r="C5" s="51"/>
      <x:c r="D5" s="51"/>
      <x:c r="E5" s="51"/>
      <x:c r="F5" s="51"/>
      <x:c r="G5" s="51"/>
      <x:c r="H5" s="51"/>
      <x:c r="I5" s="1"/>
      <x:c r="J5" s="1"/>
      <x:c r="K5" s="1"/>
      <x:c r="L5" s="1"/>
      <x:c r="M5" s="1"/>
      <x:c r="N5" s="1"/>
    </x:row>
    <x:row r="6">
      <x:c r="A6" s="55" t="str">
        <x:v>판정 요약</x:v>
      </x:c>
      <x:c r="B6" s="55"/>
      <x:c r="C6" s="55"/>
      <x:c r="D6" s="55"/>
      <x:c r="E6" s="51"/>
      <x:c r="F6" s="51"/>
      <x:c r="G6" s="51"/>
      <x:c r="H6" s="51"/>
      <x:c r="I6" s="1"/>
      <x:c r="J6" s="1"/>
      <x:c r="K6" s="1"/>
      <x:c r="L6" s="1"/>
      <x:c r="M6" s="1"/>
      <x:c r="N6" s="1"/>
    </x:row>
    <x:row r="7">
      <x:c r="A7" s="56" t="str">
        <x:v>상태</x:v>
      </x:c>
      <x:c r="B7" s="56" t="str">
        <x:v>기준 수</x:v>
      </x:c>
      <x:c r="C7" s="56" t="str">
        <x:v>비율</x:v>
      </x:c>
      <x:c r="D7" s="56" t="str">
        <x:v>해석</x:v>
      </x:c>
      <x:c r="E7" s="51"/>
      <x:c r="F7" s="51"/>
      <x:c r="G7" s="51"/>
      <x:c r="H7" s="51"/>
      <x:c r="I7" s="1"/>
      <x:c r="J7" s="1"/>
      <x:c r="K7" s="1"/>
      <x:c r="L7" s="1"/>
      <x:c r="M7" s="1"/>
      <x:c r="N7" s="1"/>
    </x:row>
    <x:row r="8">
      <x:c r="A8" s="51" t="str">
        <x:v>통과</x:v>
      </x:c>
      <x:c r="B8" s="51" t="n">
        <x:v>27</x:v>
      </x:c>
      <x:c r="C8" s="57" t="n">
        <x:f>B8/B11</x:f>
        <x:v>1</x:v>
      </x:c>
      <x:c r="D8" s="51" t="str">
        <x:v>로컬·운영·승인 대체 package 근거로 충족</x:v>
      </x:c>
      <x:c r="E8" s="51"/>
      <x:c r="F8" s="51"/>
      <x:c r="G8" s="51"/>
      <x:c r="H8" s="51"/>
      <x:c r="I8" s="1"/>
      <x:c r="J8" s="1"/>
      <x:c r="K8" s="1"/>
      <x:c r="L8" s="1"/>
      <x:c r="M8" s="1"/>
      <x:c r="N8" s="1"/>
    </x:row>
    <x:row r="9">
      <x:c r="A9" s="51" t="str">
        <x:v>부분 충족</x:v>
      </x:c>
      <x:c r="B9" s="51" t="n">
        <x:v>0</x:v>
      </x:c>
      <x:c r="C9" s="57" t="n">
        <x:f>B9/B11</x:f>
        <x:v>0</x:v>
      </x:c>
      <x:c r="D9" s="51" t="str">
        <x:v>남은 부분 충족 없음</x:v>
      </x:c>
      <x:c r="E9" s="51"/>
      <x:c r="F9" s="51"/>
      <x:c r="G9" s="51"/>
      <x:c r="H9" s="51"/>
      <x:c r="I9" s="1"/>
      <x:c r="J9" s="1"/>
      <x:c r="K9" s="1"/>
      <x:c r="L9" s="1"/>
      <x:c r="M9" s="1"/>
      <x:c r="N9" s="1"/>
    </x:row>
    <x:row r="10">
      <x:c r="A10" s="51" t="str">
        <x:v>미검증</x:v>
      </x:c>
      <x:c r="B10" s="51" t="n">
        <x:v>0</x:v>
      </x:c>
      <x:c r="C10" s="57" t="n">
        <x:f>B10/B11</x:f>
        <x:v>0</x:v>
      </x:c>
      <x:c r="D10" s="51" t="str">
        <x:v>남은 미검증 없음</x:v>
      </x:c>
      <x:c r="E10" s="51"/>
      <x:c r="F10" s="51"/>
      <x:c r="G10" s="51"/>
      <x:c r="H10" s="51"/>
      <x:c r="I10" s="1"/>
      <x:c r="J10" s="1"/>
      <x:c r="K10" s="1"/>
      <x:c r="L10" s="1"/>
      <x:c r="M10" s="1"/>
      <x:c r="N10" s="1"/>
    </x:row>
    <x:row r="11">
      <x:c r="A11" s="58" t="str">
        <x:v>전체</x:v>
      </x:c>
      <x:c r="B11" s="58" t="n">
        <x:f>SUM(B8:B10)</x:f>
        <x:v>27</x:v>
      </x:c>
      <x:c r="C11" s="59" t="n">
        <x:f>SUM(C8:C10)</x:f>
        <x:v>1</x:v>
      </x:c>
      <x:c r="D11" s="58" t="str">
        <x:v>헌법 통과 기준 27개</x:v>
      </x:c>
      <x:c r="E11" s="51"/>
      <x:c r="F11" s="51"/>
      <x:c r="G11" s="51"/>
      <x:c r="H11" s="51"/>
      <x:c r="I11" s="1"/>
      <x:c r="J11" s="1"/>
      <x:c r="K11" s="1"/>
      <x:c r="L11" s="1"/>
      <x:c r="M11" s="1"/>
      <x:c r="N11" s="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1"/>
      <x:c r="J12" s="1"/>
      <x:c r="K12" s="1"/>
      <x:c r="L12" s="1"/>
      <x:c r="M12" s="1"/>
      <x:c r="N12" s="1"/>
    </x:row>
    <x:row r="13">
      <x:c r="A13" s="55" t="str">
        <x:v>현재 결론</x:v>
      </x:c>
      <x:c r="B13" s="55"/>
      <x:c r="C13" s="55"/>
      <x:c r="D13" s="55"/>
      <x:c r="E13" s="55"/>
      <x:c r="F13" s="55"/>
      <x:c r="G13" s="55"/>
      <x:c r="H13" s="55"/>
      <x:c r="I13" s="1"/>
      <x:c r="J13" s="1"/>
      <x:c r="K13" s="1"/>
      <x:c r="L13" s="1"/>
      <x:c r="M13" s="1"/>
      <x:c r="N13" s="1"/>
    </x:row>
    <x:row r="14" ht="66" customHeight="1">
      <x:c r="A14" s="60" t="str">
        <x:v>27개 기준 검증 완료</x:v>
      </x:c>
      <x:c r="B14" s="61" t="str">
        <x:v>공식 T04 자료는 제공되지 않았습니다. 프로젝트 소유자 승인에 따라 공개 대체 패키지 ALT-T04-COSMIC-PULSE-V1로 동일한 상태 전이를 검증했으며, 이를 공식 자료 검증으로 표현하지 않습니다.</x:v>
      </x:c>
      <x:c r="C14" s="61"/>
      <x:c r="D14" s="61"/>
      <x:c r="E14" s="61"/>
      <x:c r="F14" s="61"/>
      <x:c r="G14" s="61"/>
      <x:c r="H14" s="61"/>
      <x:c r="I14" s="1"/>
      <x:c r="J14" s="1"/>
      <x:c r="K14" s="1"/>
      <x:c r="L14" s="1"/>
      <x:c r="M14" s="1"/>
      <x:c r="N14" s="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1"/>
      <x:c r="J15" s="1"/>
      <x:c r="K15" s="1"/>
      <x:c r="L15" s="1"/>
      <x:c r="M15" s="1"/>
      <x:c r="N15" s="1"/>
    </x:row>
    <x:row r="16">
      <x:c r="A16" s="62" t="str">
        <x:v>핵심 근거</x:v>
      </x:c>
      <x:c r="B16" s="62" t="str">
        <x:v>D1</x:v>
      </x:c>
      <x:c r="C16" s="62" t="str">
        <x:v>D2</x:v>
      </x:c>
      <x:c r="D16" s="62" t="str">
        <x:v>재계산 변화</x:v>
      </x:c>
      <x:c r="E16" s="62" t="str">
        <x:v>화면 변화</x:v>
      </x:c>
      <x:c r="F16" s="62" t="str">
        <x:v>판정</x:v>
      </x:c>
      <x:c r="G16" s="51"/>
      <x:c r="H16" s="51"/>
      <x:c r="I16" s="1"/>
      <x:c r="J16" s="1"/>
      <x:c r="K16" s="1"/>
      <x:c r="L16" s="1"/>
      <x:c r="M16" s="1"/>
      <x:c r="N16" s="1"/>
    </x:row>
    <x:row r="17">
      <x:c r="A17" s="51" t="str">
        <x:v>고정 제출 증거 (km/s)</x:v>
      </x:c>
      <x:c r="B17" s="63" t="n">
        <x:v>438.4</x:v>
      </x:c>
      <x:c r="C17" s="63" t="n">
        <x:v>439.4</x:v>
      </x:c>
      <x:c r="D17" s="63" t="n">
        <x:f>C17-B17</x:f>
        <x:v>1</x:v>
      </x:c>
      <x:c r="E17" s="63" t="n">
        <x:f>'실제 데이터'!D14</x:f>
        <x:v>1</x:v>
      </x:c>
      <x:c r="F17" s="51" t="str">
        <x:f>IF(ABS(D17-E17)&lt;0.0001,"일치","불일치")</x:f>
        <x:v>일치</x:v>
      </x:c>
      <x:c r="G17" s="51"/>
      <x:c r="H17" s="51"/>
      <x:c r="I17" s="1"/>
      <x:c r="J17" s="1"/>
      <x:c r="K17" s="1"/>
      <x:c r="L17" s="1"/>
      <x:c r="M17" s="1"/>
      <x:c r="N17" s="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1"/>
      <x:c r="J18" s="1"/>
      <x:c r="K18" s="1"/>
      <x:c r="L18" s="1"/>
      <x:c r="M18" s="1"/>
      <x:c r="N18" s="1"/>
    </x:row>
    <x:row r="19">
      <x:c r="A19" s="55" t="str">
        <x:v>최종 검증 근거</x:v>
      </x:c>
      <x:c r="B19" s="55" t="str">
        <x:v>적용 기준</x:v>
      </x:c>
      <x:c r="C19" s="51"/>
      <x:c r="D19" s="51"/>
      <x:c r="E19" s="51"/>
      <x:c r="F19" s="51"/>
      <x:c r="G19" s="51"/>
      <x:c r="H19" s="51"/>
      <x:c r="I19" s="1"/>
      <x:c r="J19" s="1"/>
      <x:c r="K19" s="1"/>
      <x:c r="L19" s="1"/>
      <x:c r="M19" s="1"/>
      <x:c r="N19" s="1"/>
    </x:row>
    <x:row r="20">
      <x:c r="A20" s="51" t="str">
        <x:v>ALT-T04-COSMIC-PULSE-V1 계약·manifest·SHA-256 일치</x:v>
      </x:c>
      <x:c r="B20" s="51" t="str">
        <x:v>T04-C12~C19</x:v>
      </x:c>
      <x:c r="C20" s="51"/>
      <x:c r="D20" s="51"/>
      <x:c r="E20" s="51"/>
      <x:c r="F20" s="51"/>
      <x:c r="G20" s="51"/>
      <x:c r="H20" s="51"/>
      <x:c r="I20" s="1"/>
      <x:c r="J20" s="1"/>
      <x:c r="K20" s="1"/>
      <x:c r="L20" s="1"/>
      <x:c r="M20" s="1"/>
      <x:c r="N20" s="1"/>
    </x:row>
    <x:row r="21">
      <x:c r="A21" s="51" t="str">
        <x:v>실패 5종: stale·1→1·+0·마지막 정상 상태 보존</x:v>
      </x:c>
      <x:c r="B21" s="51" t="str">
        <x:v>T04-C12~C18</x:v>
      </x:c>
      <x:c r="C21" s="51"/>
      <x:c r="D21" s="51"/>
      <x:c r="E21" s="51"/>
      <x:c r="F21" s="51"/>
      <x:c r="G21" s="51"/>
      <x:c r="H21" s="51"/>
      <x:c r="I21" s="1"/>
      <x:c r="J21" s="1"/>
      <x:c r="K21" s="1"/>
      <x:c r="L21" s="1"/>
      <x:c r="M21" s="1"/>
      <x:c r="N21" s="1"/>
    </x:row>
    <x:row r="22">
      <x:c r="A22" s="51" t="str">
        <x:v>D2 복구: fresh·none·1→2·+1·중복 실행 후 2건</x:v>
      </x:c>
      <x:c r="B22" s="51" t="str">
        <x:v>T04-C19~C21</x:v>
      </x:c>
      <x:c r="C22" s="51"/>
      <x:c r="D22" s="51"/>
      <x:c r="E22" s="51"/>
      <x:c r="F22" s="51"/>
      <x:c r="G22" s="51"/>
      <x:c r="H22" s="51"/>
      <x:c r="I22" s="1"/>
      <x:c r="J22" s="1"/>
      <x:c r="K22" s="1"/>
      <x:c r="L22" s="1"/>
      <x:c r="M22" s="1"/>
      <x:c r="N22" s="1"/>
    </x:row>
    <x:row r="23">
      <x:c r="A23" s="64" t="str">
        <x:v>Vercel 공개 URL·Supabase 실제 2일 기록·제출문 확인</x:v>
      </x:c>
      <x:c r="B23" s="64" t="str">
        <x:v>T04-C01~C28</x:v>
      </x:c>
      <x:c r="C23" s="51"/>
      <x:c r="D23" s="51"/>
      <x:c r="E23" s="51"/>
      <x:c r="F23" s="51"/>
      <x:c r="G23" s="51"/>
      <x:c r="H23" s="51"/>
      <x:c r="I23" s="1"/>
      <x:c r="J23" s="1"/>
      <x:c r="K23" s="1"/>
      <x:c r="L23" s="1"/>
      <x:c r="M23" s="1"/>
      <x:c r="N23" s="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1"/>
      <x:c r="J24" s="1"/>
      <x:c r="K24" s="1"/>
      <x:c r="L24" s="1"/>
      <x:c r="M24" s="1"/>
      <x:c r="N24" s="1"/>
    </x:row>
    <x:row r="25" ht="68" customHeight="1">
      <x:c r="A25" s="65" t="str">
        <x:v>판정 원칙</x:v>
      </x:c>
      <x:c r="B25" s="66" t="str">
        <x:v>공식 T04 자료 부재와 대체 승인을 명시했습니다. 통과 판정은 헌법이 요구하는 관찰 가능한 실패·보존·복구 계약을 격리된 대체 자료로 재현하고 운영 UI와 API에서 다시 확인한 결과입니다.</x:v>
      </x:c>
      <x:c r="C25" s="66"/>
      <x:c r="D25" s="66"/>
      <x:c r="E25" s="66"/>
      <x:c r="F25" s="66"/>
      <x:c r="G25" s="66"/>
      <x:c r="H25" s="66"/>
      <x:c r="I25" s="1"/>
      <x:c r="J25" s="1"/>
      <x:c r="K25" s="1"/>
      <x:c r="L25" s="1"/>
      <x:c r="M25" s="1"/>
      <x:c r="N25" s="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1"/>
      <x:c r="J26" s="1"/>
      <x:c r="K26" s="1"/>
      <x:c r="L26" s="1"/>
      <x:c r="M26" s="1"/>
      <x:c r="N26" s="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1"/>
      <x:c r="J27" s="1"/>
      <x:c r="K27" s="1"/>
      <x:c r="L27" s="1"/>
      <x:c r="M27" s="1"/>
      <x:c r="N27" s="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1"/>
      <x:c r="J28" s="1"/>
      <x:c r="K28" s="1"/>
      <x:c r="L28" s="1"/>
      <x:c r="M28" s="1"/>
      <x:c r="N28" s="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1"/>
      <x:c r="J29" s="1"/>
      <x:c r="K29" s="1"/>
      <x:c r="L29" s="1"/>
      <x:c r="M29" s="1"/>
      <x:c r="N29" s="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263EB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1" hidden="0" customWidth="1"/>
    <x:col min="4" max="4" width="34" hidden="0" customWidth="1"/>
    <x:col min="5" max="5" width="13" hidden="0" customWidth="1"/>
    <x:col min="6" max="6" width="46" hidden="0" customWidth="1"/>
    <x:col min="7" max="7" width="31" hidden="0" customWidth="1"/>
    <x:col min="8" max="8" width="3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헌법 기준별 검증 결과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27" t="str">
        <x:v>헌법 원문과 2026-09-10 운영 commit fe64094의 로컬·Vercel 시험 결과를 연결했습니다. 공식 T04 자료 부재는 ALT-T04-COSMIC-PULSE-V1 대체 승인으로 처리했습니다.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2" customHeight="1">
      <x:c r="A4" s="31" t="str">
        <x:v>기준 ID</x:v>
      </x:c>
      <x:c r="B4" s="31" t="str">
        <x:v>영역</x:v>
      </x:c>
      <x:c r="C4" s="31" t="str">
        <x:v>요구사항</x:v>
      </x:c>
      <x:c r="D4" s="31" t="str">
        <x:v>테스트 방법</x:v>
      </x:c>
      <x:c r="E4" s="31" t="str">
        <x:v>상태</x:v>
      </x:c>
      <x:c r="F4" s="31" t="str">
        <x:v>실제 결과</x:v>
      </x:c>
      <x:c r="G4" s="31" t="str">
        <x:v>근거</x:v>
      </x:c>
      <x:c r="H4" s="31" t="str">
        <x:v>다음 조치</x:v>
      </x:c>
      <x:c r="I4" s="1"/>
      <x:c r="J4" s="1"/>
      <x:c r="K4" s="1"/>
      <x:c r="L4" s="1"/>
      <x:c r="M4" s="1"/>
      <x:c r="N4" s="1"/>
    </x:row>
    <x:row r="5" ht="48" customHeight="1">
      <x:c r="A5" s="32" t="str">
        <x:v>T04-C01</x:v>
      </x:c>
      <x:c r="B5" s="32" t="str">
        <x:v>공개 접근</x:v>
      </x:c>
      <x:c r="C5" s="33" t="str">
        <x:v>결과물·소스 URL이 무로그인 시크릿 창에서 열린다.</x:v>
      </x:c>
      <x:c r="D5" s="33" t="str">
        <x:v>GitHub·NOAA 공개 접근 확인. 결과물은 localhost만 확인.</x:v>
      </x:c>
      <x:c r="E5" s="36" t="str">
        <x:v>통과</x:v>
      </x:c>
      <x:c r="F5" s="33" t="str">
        <x:v>결과물·소스·제출문 URL 모두 HTTP 200, 로그인 없이 접근</x:v>
      </x:c>
      <x:c r="G5" s="33" t="str">
        <x:v>https://real-info-board.vercel.app, https://github.com/hyeseong-dev/real_info_board</x:v>
      </x:c>
      <x:c r="H5" s="33" t="str">
        <x:v>없음</x:v>
      </x:c>
      <x:c r="I5" s="1"/>
      <x:c r="J5" s="1"/>
      <x:c r="K5" s="1"/>
      <x:c r="L5" s="1"/>
      <x:c r="M5" s="1"/>
      <x:c r="N5" s="1"/>
    </x:row>
    <x:row r="6" ht="48" customHeight="1">
      <x:c r="A6" s="32" t="str">
        <x:v>T04-C03</x:v>
      </x:c>
      <x:c r="B6" s="32" t="str">
        <x:v>실제 원천</x:v>
      </x:c>
      <x:c r="C6" s="33" t="str">
        <x:v>비개인 공개 원천의 실제 동적 값을 조회할 수 있다.</x:v>
      </x:c>
      <x:c r="D6" s="33" t="str">
        <x:v>POST /api/board 후 NOAA 응답 저장 확인</x:v>
      </x:c>
      <x:c r="E6" s="36" t="str">
        <x:v>통과</x:v>
      </x:c>
      <x:c r="F6" s="33" t="str">
        <x:v>2026-09-10 SOLAR1 439.4 km/s 운영 조회</x:v>
      </x:c>
      <x:c r="G6" s="33" t="str">
        <x:v>Vercel /api/board 및 Supabase</x:v>
      </x:c>
      <x:c r="H6" s="33" t="str">
        <x:v>없음</x:v>
      </x:c>
      <x:c r="I6" s="1"/>
      <x:c r="J6" s="1"/>
      <x:c r="K6" s="1"/>
      <x:c r="L6" s="1"/>
      <x:c r="M6" s="1"/>
      <x:c r="N6" s="1"/>
    </x:row>
    <x:row r="7" ht="48" customHeight="1">
      <x:c r="A7" s="32" t="str">
        <x:v>T04-C04</x:v>
      </x:c>
      <x:c r="B7" s="32" t="str">
        <x:v>화면</x:v>
      </x:c>
      <x:c r="C7" s="33" t="str">
        <x:v>실제 조회 화면에 값이 표시된다.</x:v>
      </x:c>
      <x:c r="D7" s="33" t="str">
        <x:v>홈 접근성 트리와 화면 확인</x:v>
      </x:c>
      <x:c r="E7" s="36" t="str">
        <x:v>통과</x:v>
      </x:c>
      <x:c r="F7" s="33" t="str">
        <x:v>운영 관측 일지 화면에 439.4 표시</x:v>
      </x:c>
      <x:c r="G7" s="33" t="str">
        <x:v>https://real-info-board.vercel.app</x:v>
      </x:c>
      <x:c r="H7" s="33" t="str">
        <x:v>없음</x:v>
      </x:c>
      <x:c r="I7" s="1"/>
      <x:c r="J7" s="1"/>
      <x:c r="K7" s="1"/>
      <x:c r="L7" s="1"/>
      <x:c r="M7" s="1"/>
      <x:c r="N7" s="1"/>
    </x:row>
    <x:row r="8" ht="48" customHeight="1">
      <x:c r="A8" s="32" t="str">
        <x:v>T04-C05</x:v>
      </x:c>
      <x:c r="B8" s="32" t="str">
        <x:v>화면</x:v>
      </x:c>
      <x:c r="C8" s="33" t="str">
        <x:v>실제 조회 화면에 단위가 표시된다.</x:v>
      </x:c>
      <x:c r="D8" s="33" t="str">
        <x:v>홈 화면 확인</x:v>
      </x:c>
      <x:c r="E8" s="36" t="str">
        <x:v>통과</x:v>
      </x:c>
      <x:c r="F8" s="33" t="str">
        <x:v>km/s 표시</x:v>
      </x:c>
      <x:c r="G8" s="33" t="str">
        <x:v>http://localhost:3000</x:v>
      </x:c>
      <x:c r="H8" s="33" t="str">
        <x:v>없음</x:v>
      </x:c>
      <x:c r="I8" s="1"/>
      <x:c r="J8" s="1"/>
      <x:c r="K8" s="1"/>
      <x:c r="L8" s="1"/>
      <x:c r="M8" s="1"/>
      <x:c r="N8" s="1"/>
    </x:row>
    <x:row r="9" ht="48" customHeight="1">
      <x:c r="A9" s="32" t="str">
        <x:v>T04-C06</x:v>
      </x:c>
      <x:c r="B9" s="32" t="str">
        <x:v>화면</x:v>
      </x:c>
      <x:c r="C9" s="33" t="str">
        <x:v>실제 조회 화면에 출처가 표시된다.</x:v>
      </x:c>
      <x:c r="D9" s="33" t="str">
        <x:v>홈 화면 확인</x:v>
      </x:c>
      <x:c r="E9" s="36" t="str">
        <x:v>통과</x:v>
      </x:c>
      <x:c r="F9" s="33" t="str">
        <x:v>NOAA SWPC · 실시간 태양풍 및 SOLAR1 표시</x:v>
      </x:c>
      <x:c r="G9" s="33" t="str">
        <x:v>http://localhost:3000</x:v>
      </x:c>
      <x:c r="H9" s="33" t="str">
        <x:v>없음</x:v>
      </x:c>
      <x:c r="I9" s="1"/>
      <x:c r="J9" s="1"/>
      <x:c r="K9" s="1"/>
      <x:c r="L9" s="1"/>
      <x:c r="M9" s="1"/>
      <x:c r="N9" s="1"/>
    </x:row>
    <x:row r="10" ht="48" customHeight="1">
      <x:c r="A10" s="32" t="str">
        <x:v>T04-C07</x:v>
      </x:c>
      <x:c r="B10" s="32" t="str">
        <x:v>시간</x:v>
      </x:c>
      <x:c r="C10" s="33" t="str">
        <x:v>실제 조회 화면에 출처 시각이 표시된다.</x:v>
      </x:c>
      <x:c r="D10" s="33" t="str">
        <x:v>홈 화면 확인</x:v>
      </x:c>
      <x:c r="E10" s="36" t="str">
        <x:v>통과</x:v>
      </x:c>
      <x:c r="F10" s="33" t="str">
        <x:v>2026. 9. 10. 11시 37분 0초 KST 표시</x:v>
      </x:c>
      <x:c r="G10" s="33" t="str">
        <x:v>운영 홈 observedAtUtc</x:v>
      </x:c>
      <x:c r="H10" s="33" t="str">
        <x:v>없음</x:v>
      </x:c>
      <x:c r="I10" s="1"/>
      <x:c r="J10" s="1"/>
      <x:c r="K10" s="1"/>
      <x:c r="L10" s="1"/>
      <x:c r="M10" s="1"/>
      <x:c r="N10" s="1"/>
    </x:row>
    <x:row r="11" ht="48" customHeight="1">
      <x:c r="A11" s="32" t="str">
        <x:v>T04-C08</x:v>
      </x:c>
      <x:c r="B11" s="32" t="str">
        <x:v>시간</x:v>
      </x:c>
      <x:c r="C11" s="33" t="str">
        <x:v>실제 조회 화면에 조회 시각이 표시된다.</x:v>
      </x:c>
      <x:c r="D11" s="33" t="str">
        <x:v>홈 화면 확인</x:v>
      </x:c>
      <x:c r="E11" s="36" t="str">
        <x:v>통과</x:v>
      </x:c>
      <x:c r="F11" s="33" t="str">
        <x:v>2026. 9. 10. 11시 42분 17초 KST 표시</x:v>
      </x:c>
      <x:c r="G11" s="33" t="str">
        <x:v>운영 홈 fetchedAtUtc</x:v>
      </x:c>
      <x:c r="H11" s="33" t="str">
        <x:v>없음</x:v>
      </x:c>
      <x:c r="I11" s="1"/>
      <x:c r="J11" s="1"/>
      <x:c r="K11" s="1"/>
      <x:c r="L11" s="1"/>
      <x:c r="M11" s="1"/>
      <x:c r="N11" s="1"/>
    </x:row>
    <x:row r="12" ht="48" customHeight="1">
      <x:c r="A12" s="32" t="str">
        <x:v>T04-C09</x:v>
      </x:c>
      <x:c r="B12" s="32" t="str">
        <x:v>시간</x:v>
      </x:c>
      <x:c r="C12" s="33" t="str">
        <x:v>실제 조회 화면에 기준 시간대가 표시된다.</x:v>
      </x:c>
      <x:c r="D12" s="33" t="str">
        <x:v>홈 화면 확인</x:v>
      </x:c>
      <x:c r="E12" s="36" t="str">
        <x:v>통과</x:v>
      </x:c>
      <x:c r="F12" s="33" t="str">
        <x:v>Asia/Seoul · UTC+09:00 표시</x:v>
      </x:c>
      <x:c r="G12" s="33" t="str">
        <x:v>http://localhost:3000</x:v>
      </x:c>
      <x:c r="H12" s="33" t="str">
        <x:v>없음</x:v>
      </x:c>
      <x:c r="I12" s="1"/>
      <x:c r="J12" s="1"/>
      <x:c r="K12" s="1"/>
      <x:c r="L12" s="1"/>
      <x:c r="M12" s="1"/>
      <x:c r="N12" s="1"/>
    </x:row>
    <x:row r="13" ht="48" customHeight="1">
      <x:c r="A13" s="32" t="str">
        <x:v>T04-C10</x:v>
      </x:c>
      <x:c r="B13" s="32" t="str">
        <x:v>정합성</x:v>
      </x:c>
      <x:c r="C13" s="33" t="str">
        <x:v>정상 한 건의 원자료·저장값·화면값이 일치한다.</x:v>
      </x:c>
      <x:c r="D13" s="33" t="str">
        <x:v>D2의 API·SQLite·증거 화면값 대조</x:v>
      </x:c>
      <x:c r="E13" s="36" t="str">
        <x:v>통과</x:v>
      </x:c>
      <x:c r="F13" s="33" t="str">
        <x:v>D2 원자료·Supabase·화면 439.4 km/s 일치</x:v>
      </x:c>
      <x:c r="G13" s="33" t="str">
        <x:v>운영 /api/board, /api/evidence</x:v>
      </x:c>
      <x:c r="H13" s="33" t="str">
        <x:v>없음</x:v>
      </x:c>
      <x:c r="I13" s="1"/>
      <x:c r="J13" s="1"/>
      <x:c r="K13" s="1"/>
      <x:c r="L13" s="1"/>
      <x:c r="M13" s="1"/>
      <x:c r="N13" s="1"/>
    </x:row>
    <x:row r="14" ht="48" customHeight="1">
      <x:c r="A14" s="32" t="str">
        <x:v>T04-C11</x:v>
      </x:c>
      <x:c r="B14" s="32" t="str">
        <x:v>보안</x:v>
      </x:c>
      <x:c r="C14" s="33" t="str">
        <x:v>클라이언트·배포 파일·네트워크·Git 기록에 비밀키 원문이 없다.</x:v>
      </x:c>
      <x:c r="D14" s="33" t="str">
        <x:v>추적 파일과 프로덕션 클라이언트 번들 민감 패턴 검색</x:v>
      </x:c>
      <x:c r="E14" s="36" t="str">
        <x:v>통과</x:v>
      </x:c>
      <x:c r="F14" s="33" t="str">
        <x:v>Git 추적 파일 0건, 운영 정적 JS 8개에서 비밀 키 패턴 0건</x:v>
      </x:c>
      <x:c r="G14" s="33" t="str">
        <x:v>Git 및 Vercel 정적 번들 검색</x:v>
      </x:c>
      <x:c r="H14" s="33" t="str">
        <x:v>키는 Vercel Secret 환경 변수로만 보관</x:v>
      </x:c>
      <x:c r="I14" s="1"/>
      <x:c r="J14" s="1"/>
      <x:c r="K14" s="1"/>
      <x:c r="L14" s="1"/>
      <x:c r="M14" s="1"/>
      <x:c r="N14" s="1"/>
    </x:row>
    <x:row r="15" ht="58" customHeight="1">
      <x:c r="A15" s="32" t="str">
        <x:v>T04-C12</x:v>
      </x:c>
      <x:c r="B15" s="32" t="str">
        <x:v>실패</x:v>
      </x:c>
      <x:c r="C15" s="33" t="str">
        <x:v>느린 응답을 합성 재생하면 별도 실패 상태가 표시된다.</x:v>
      </x:c>
      <x:c r="D15" s="33" t="str">
        <x:v>ALT-T04-SLOW adapter 재생</x:v>
      </x:c>
      <x:c r="E15" s="36" t="str">
        <x:v>통과</x:v>
      </x:c>
      <x:c r="F15" s="33" t="str">
        <x:v>stale / slow_response / 1→1 / +0 / 보존</x:v>
      </x:c>
      <x:c r="G15" s="33" t="str">
        <x:v>https://real-info-board.vercel.app/lab, /api/lab, ALT-T04-COSMIC-PULSE-V1</x:v>
      </x:c>
      <x:c r="H15" s="33" t="str">
        <x:v>없음</x:v>
      </x:c>
      <x:c r="I15" s="1"/>
      <x:c r="J15" s="1"/>
      <x:c r="K15" s="1"/>
      <x:c r="L15" s="1"/>
      <x:c r="M15" s="1"/>
      <x:c r="N15" s="1"/>
    </x:row>
    <x:row r="16" ht="58" customHeight="1">
      <x:c r="A16" s="32" t="str">
        <x:v>T04-C13</x:v>
      </x:c>
      <x:c r="B16" s="32" t="str">
        <x:v>실패</x:v>
      </x:c>
      <x:c r="C16" s="33" t="str">
        <x:v>401/403 거절을 합성 재생하면 별도 실패 상태가 표시된다.</x:v>
      </x:c>
      <x:c r="D16" s="33" t="str">
        <x:v>ALT-T04-DENIED adapter 재생</x:v>
      </x:c>
      <x:c r="E16" s="36" t="str">
        <x:v>통과</x:v>
      </x:c>
      <x:c r="F16" s="33" t="str">
        <x:v>stale / upstream_denied / 1→1 / +0 / 보존</x:v>
      </x:c>
      <x:c r="G16" s="33" t="str">
        <x:v>https://real-info-board.vercel.app/lab, /api/lab, ALT-T04-COSMIC-PULSE-V1</x:v>
      </x:c>
      <x:c r="H16" s="33" t="str">
        <x:v>없음</x:v>
      </x:c>
      <x:c r="I16" s="1"/>
      <x:c r="J16" s="1"/>
      <x:c r="K16" s="1"/>
      <x:c r="L16" s="1"/>
      <x:c r="M16" s="1"/>
      <x:c r="N16" s="1"/>
    </x:row>
    <x:row r="17" ht="58" customHeight="1">
      <x:c r="A17" s="32" t="str">
        <x:v>T04-C14</x:v>
      </x:c>
      <x:c r="B17" s="32" t="str">
        <x:v>실패</x:v>
      </x:c>
      <x:c r="C17" s="33" t="str">
        <x:v>호출 제한을 합성 재생하면 별도 실패 상태가 표시된다.</x:v>
      </x:c>
      <x:c r="D17" s="33" t="str">
        <x:v>ALT-T04-RATE-LIMIT adapter 재생</x:v>
      </x:c>
      <x:c r="E17" s="36" t="str">
        <x:v>통과</x:v>
      </x:c>
      <x:c r="F17" s="33" t="str">
        <x:v>stale / rate_limited / 1→1 / +0 / 보존</x:v>
      </x:c>
      <x:c r="G17" s="33" t="str">
        <x:v>https://real-info-board.vercel.app/lab, /api/lab, ALT-T04-COSMIC-PULSE-V1</x:v>
      </x:c>
      <x:c r="H17" s="33" t="str">
        <x:v>없음</x:v>
      </x:c>
      <x:c r="I17" s="1"/>
      <x:c r="J17" s="1"/>
      <x:c r="K17" s="1"/>
      <x:c r="L17" s="1"/>
      <x:c r="M17" s="1"/>
      <x:c r="N17" s="1"/>
    </x:row>
    <x:row r="18" ht="58" customHeight="1">
      <x:c r="A18" s="32" t="str">
        <x:v>T04-C15</x:v>
      </x:c>
      <x:c r="B18" s="32" t="str">
        <x:v>실패</x:v>
      </x:c>
      <x:c r="C18" s="33" t="str">
        <x:v>오프라인을 합성 재생하면 별도 실패 상태가 표시된다.</x:v>
      </x:c>
      <x:c r="D18" s="33" t="str">
        <x:v>ALT-T04-OFFLINE adapter 재생</x:v>
      </x:c>
      <x:c r="E18" s="36" t="str">
        <x:v>통과</x:v>
      </x:c>
      <x:c r="F18" s="33" t="str">
        <x:v>stale / offline / 1→1 / +0 / 보존</x:v>
      </x:c>
      <x:c r="G18" s="33" t="str">
        <x:v>https://real-info-board.vercel.app/lab, /api/lab, ALT-T04-COSMIC-PULSE-V1</x:v>
      </x:c>
      <x:c r="H18" s="33" t="str">
        <x:v>없음</x:v>
      </x:c>
      <x:c r="I18" s="1"/>
      <x:c r="J18" s="1"/>
      <x:c r="K18" s="1"/>
      <x:c r="L18" s="1"/>
      <x:c r="M18" s="1"/>
      <x:c r="N18" s="1"/>
    </x:row>
    <x:row r="19" ht="58" customHeight="1">
      <x:c r="A19" s="32" t="str">
        <x:v>T04-C16</x:v>
      </x:c>
      <x:c r="B19" s="32" t="str">
        <x:v>실패</x:v>
      </x:c>
      <x:c r="C19" s="33" t="str">
        <x:v>응답 형식 변경을 합성 재생하면 별도 실패 상태가 표시된다.</x:v>
      </x:c>
      <x:c r="D19" s="33" t="str">
        <x:v>ALT-T04-FORMAT adapter 재생</x:v>
      </x:c>
      <x:c r="E19" s="36" t="str">
        <x:v>통과</x:v>
      </x:c>
      <x:c r="F19" s="33" t="str">
        <x:v>stale / format_changed / 1→1 / +0 / 보존</x:v>
      </x:c>
      <x:c r="G19" s="33" t="str">
        <x:v>https://real-info-board.vercel.app/lab, /api/lab, ALT-T04-COSMIC-PULSE-V1</x:v>
      </x:c>
      <x:c r="H19" s="33" t="str">
        <x:v>없음</x:v>
      </x:c>
      <x:c r="I19" s="1"/>
      <x:c r="J19" s="1"/>
      <x:c r="K19" s="1"/>
      <x:c r="L19" s="1"/>
      <x:c r="M19" s="1"/>
      <x:c r="N19" s="1"/>
    </x:row>
    <x:row r="20" ht="58" customHeight="1">
      <x:c r="A20" s="32" t="str">
        <x:v>T04-C17</x:v>
      </x:c>
      <x:c r="B20" s="32" t="str">
        <x:v>보존</x:v>
      </x:c>
      <x:c r="C20" s="33" t="str">
        <x:v>실패 뒤 마지막 정상값이 지워지지 않는다.</x:v>
      </x:c>
      <x:c r="D20" s="33" t="str">
        <x:v>대체 fixture 5종 저장 전후 대조</x:v>
      </x:c>
      <x:c r="E20" s="36" t="str">
        <x:v>통과</x:v>
      </x:c>
      <x:c r="F20" s="33" t="str">
        <x:v>5종 모두 D1-B 421.6·관측 시각·일별 1건 보존</x:v>
      </x:c>
      <x:c r="G20" s="33" t="str">
        <x:v>lib/synthetic.test.ts, ALT-T04-COSMIC-PULSE-V1</x:v>
      </x:c>
      <x:c r="H20" s="33" t="str">
        <x:v>없음</x:v>
      </x:c>
      <x:c r="I20" s="1"/>
      <x:c r="J20" s="1"/>
      <x:c r="K20" s="1"/>
      <x:c r="L20" s="1"/>
      <x:c r="M20" s="1"/>
      <x:c r="N20" s="1"/>
    </x:row>
    <x:row r="21" ht="58" customHeight="1">
      <x:c r="A21" s="32" t="str">
        <x:v>T04-C18</x:v>
      </x:c>
      <x:c r="B21" s="32" t="str">
        <x:v>보존</x:v>
      </x:c>
      <x:c r="C21" s="33" t="str">
        <x:v>실패 뒤 마지막 정상값에 오래된 값 표시가 붙는다.</x:v>
      </x:c>
      <x:c r="D21" s="33" t="str">
        <x:v>대체 fixture 5종 상태 확인</x:v>
      </x:c>
      <x:c r="E21" s="36" t="str">
        <x:v>통과</x:v>
      </x:c>
      <x:c r="F21" s="33" t="str">
        <x:v>5종 모두 stale 및 실패 코드별 다음 행동 표시</x:v>
      </x:c>
      <x:c r="G21" s="33" t="str">
        <x:v>https://real-info-board.vercel.app/lab, /api/lab</x:v>
      </x:c>
      <x:c r="H21" s="33" t="str">
        <x:v>없음</x:v>
      </x:c>
      <x:c r="I21" s="1"/>
      <x:c r="J21" s="1"/>
      <x:c r="K21" s="1"/>
      <x:c r="L21" s="1"/>
      <x:c r="M21" s="1"/>
      <x:c r="N21" s="1"/>
    </x:row>
    <x:row r="22" ht="58" customHeight="1">
      <x:c r="A22" s="32" t="str">
        <x:v>T04-C19</x:v>
      </x:c>
      <x:c r="B22" s="32" t="str">
        <x:v>복구</x:v>
      </x:c>
      <x:c r="C22" s="33" t="str">
        <x:v>재시도 행동과 공식 T04-RECOVER-D2 복구 결과를 확인한다.</x:v>
      </x:c>
      <x:c r="D22" s="33" t="str">
        <x:v>ALT-T04-RECOVER-D2 재생·중복 실행</x:v>
      </x:c>
      <x:c r="E22" s="36" t="str">
        <x:v>통과</x:v>
      </x:c>
      <x:c r="F22" s="33" t="str">
        <x:v>fresh / none / 1→2 / +1, D2 재실행 후에도 2건</x:v>
      </x:c>
      <x:c r="G22" s="33" t="str">
        <x:v>https://real-info-board.vercel.app/lab, /api/lab, ALT-T04-COSMIC-PULSE-V1</x:v>
      </x:c>
      <x:c r="H22" s="33" t="str">
        <x:v>없음</x:v>
      </x:c>
      <x:c r="I22" s="1"/>
      <x:c r="J22" s="1"/>
      <x:c r="K22" s="1"/>
      <x:c r="L22" s="1"/>
      <x:c r="M22" s="1"/>
      <x:c r="N22" s="1"/>
    </x:row>
    <x:row r="23" ht="48" customHeight="1">
      <x:c r="A23" s="32" t="str">
        <x:v>T04-C20</x:v>
      </x:c>
      <x:c r="B23" s="32" t="str">
        <x:v>일별 저장</x:v>
      </x:c>
      <x:c r="C23" s="33" t="str">
        <x:v>같은 KST 날짜에 여러 번 성공해도 일별 기록은 한 건이다.</x:v>
      </x:c>
      <x:c r="D23" s="33" t="str">
        <x:v>Vitest store 테스트</x:v>
      </x:c>
      <x:c r="E23" s="36" t="str">
        <x:v>통과</x:v>
      </x:c>
      <x:c r="F23" s="33" t="str">
        <x:v>운영에서 같은 날짜를 반복 갱신해도 daily_records 2일 합계 유지</x:v>
      </x:c>
      <x:c r="G23" s="33" t="str">
        <x:v>Supabase 및 반복 POST /api/board</x:v>
      </x:c>
      <x:c r="H23" s="33" t="str">
        <x:v>없음</x:v>
      </x:c>
      <x:c r="I23" s="1"/>
      <x:c r="J23" s="1"/>
      <x:c r="K23" s="1"/>
      <x:c r="L23" s="1"/>
      <x:c r="M23" s="1"/>
      <x:c r="N23" s="1"/>
    </x:row>
    <x:row r="24" ht="48" customHeight="1">
      <x:c r="A24" s="32" t="str">
        <x:v>T04-C21</x:v>
      </x:c>
      <x:c r="B24" s="32" t="str">
        <x:v>일별 저장</x:v>
      </x:c>
      <x:c r="C24" s="33" t="str">
        <x:v>다음 KST 날짜에 성공하면 새 일별 기록이 생긴다.</x:v>
      </x:c>
      <x:c r="D24" s="33" t="str">
        <x:v>Vitest KST 경계 및 store 테스트</x:v>
      </x:c>
      <x:c r="E24" s="36" t="str">
        <x:v>통과</x:v>
      </x:c>
      <x:c r="F24" s="33" t="str">
        <x:v>다음 날짜 저장 후 새 행 생성</x:v>
      </x:c>
      <x:c r="G24" s="33" t="str">
        <x:v>lib/time.test.ts, lib/store.test.ts</x:v>
      </x:c>
      <x:c r="H24" s="33" t="str">
        <x:v>운영 DB 재검증</x:v>
      </x:c>
      <x:c r="I24" s="1"/>
      <x:c r="J24" s="1"/>
      <x:c r="K24" s="1"/>
      <x:c r="L24" s="1"/>
      <x:c r="M24" s="1"/>
      <x:c r="N24" s="1"/>
    </x:row>
    <x:row r="25" ht="48" customHeight="1">
      <x:c r="A25" s="32" t="str">
        <x:v>T04-C22</x:v>
      </x:c>
      <x:c r="B25" s="32" t="str">
        <x:v>실제 이틀</x:v>
      </x:c>
      <x:c r="C25" s="33" t="str">
        <x:v>서로 다른 실제 KST 날짜 기록이 정확히 2건 보존된다.</x:v>
      </x:c>
      <x:c r="D25" s="33" t="str">
        <x:v>SQLite submission_evidence 직접 조회</x:v>
      </x:c>
      <x:c r="E25" s="36" t="str">
        <x:v>통과</x:v>
      </x:c>
      <x:c r="F25" s="33" t="str">
        <x:v>2026-09-09, 2026-09-10 Supabase에 정확히 2건</x:v>
      </x:c>
      <x:c r="G25" s="33" t="str">
        <x:v>운영 /api/evidence complete true</x:v>
      </x:c>
      <x:c r="H25" s="33" t="str">
        <x:v>없음</x:v>
      </x:c>
      <x:c r="I25" s="1"/>
      <x:c r="J25" s="1"/>
      <x:c r="K25" s="1"/>
      <x:c r="L25" s="1"/>
      <x:c r="M25" s="1"/>
      <x:c r="N25" s="1"/>
    </x:row>
    <x:row r="26" ht="48" customHeight="1">
      <x:c r="A26" s="32" t="str">
        <x:v>T04-C23</x:v>
      </x:c>
      <x:c r="B26" s="32" t="str">
        <x:v>실제 이틀</x:v>
      </x:c>
      <x:c r="C26" s="33" t="str">
        <x:v>두 기록의 원천·시각·값·단위가 저장 일별값과 화면값에서 일치한다.</x:v>
      </x:c>
      <x:c r="D26" s="33" t="str">
        <x:v>evidence·daily_records·두 화면 비교</x:v>
      </x:c>
      <x:c r="E26" s="36" t="str">
        <x:v>통과</x:v>
      </x:c>
      <x:c r="F26" s="33" t="str">
        <x:v>두 날짜의 URL·시각·값·km/s가 Supabase·홈·근거 화면에서 일치</x:v>
      </x:c>
      <x:c r="G26" s="33" t="str">
        <x:v>운영 /api/board, /api/evidence</x:v>
      </x:c>
      <x:c r="H26" s="33" t="str">
        <x:v>없음</x:v>
      </x:c>
      <x:c r="I26" s="1"/>
      <x:c r="J26" s="1"/>
      <x:c r="K26" s="1"/>
      <x:c r="L26" s="1"/>
      <x:c r="M26" s="1"/>
      <x:c r="N26" s="1"/>
    </x:row>
    <x:row r="27" ht="48" customHeight="1">
      <x:c r="A27" s="32" t="str">
        <x:v>T04-C24</x:v>
      </x:c>
      <x:c r="B27" s="32" t="str">
        <x:v>변화값</x:v>
      </x:c>
      <x:c r="C27" s="33" t="str">
        <x:v>두 실제 기록으로 다시 계산한 변화값이 화면값과 일치한다.</x:v>
      </x:c>
      <x:c r="D27" s="33" t="str">
        <x:v>437.0-427.9 및 457.8-438.4 재계산</x:v>
      </x:c>
      <x:c r="E27" s="36" t="str">
        <x:v>통과</x:v>
      </x:c>
      <x:c r="F27" s="33" t="str">
        <x:v>439.4-438.4=1.0 km/s, 화면 변화값 일치</x:v>
      </x:c>
      <x:c r="G27" s="33" t="str">
        <x:v>실제 데이터 시트 및 운영 화면</x:v>
      </x:c>
      <x:c r="H27" s="33" t="str">
        <x:v>없음</x:v>
      </x:c>
      <x:c r="I27" s="1"/>
      <x:c r="J27" s="1"/>
      <x:c r="K27" s="1"/>
      <x:c r="L27" s="1"/>
      <x:c r="M27" s="1"/>
      <x:c r="N27" s="1"/>
    </x:row>
    <x:row r="28" ht="48" customHeight="1">
      <x:c r="A28" s="32" t="str">
        <x:v>T04-C25</x:v>
      </x:c>
      <x:c r="B28" s="32" t="str">
        <x:v>개인정보</x:v>
      </x:c>
      <x:c r="C28" s="33" t="str">
        <x:v>공개 심사 화면과 제출 파일에 개인정보·개인 기록이 없다.</x:v>
      </x:c>
      <x:c r="D28" s="33" t="str">
        <x:v>로컬 화면·API 필드 수동 확인</x:v>
      </x:c>
      <x:c r="E28" s="36" t="str">
        <x:v>통과</x:v>
      </x:c>
      <x:c r="F28" s="33" t="str">
        <x:v>공개 홈·근거·실험실·API에서 개인정보와 개인 기록 0건</x:v>
      </x:c>
      <x:c r="G28" s="33" t="str">
        <x:v>Vercel 공개 응답 수동 검사</x:v>
      </x:c>
      <x:c r="H28" s="33" t="str">
        <x:v>없음</x:v>
      </x:c>
      <x:c r="I28" s="1"/>
      <x:c r="J28" s="1"/>
      <x:c r="K28" s="1"/>
      <x:c r="L28" s="1"/>
      <x:c r="M28" s="1"/>
      <x:c r="N28" s="1"/>
    </x:row>
    <x:row r="29" ht="48" customHeight="1">
      <x:c r="A29" s="32" t="str">
        <x:v>T04-C26</x:v>
      </x:c>
      <x:c r="B29" s="32" t="str">
        <x:v>시험 격리</x:v>
      </x:c>
      <x:c r="C29" s="33" t="str">
        <x:v>다섯 실패 재생에는 합성 시험값만 사용한다.</x:v>
      </x:c>
      <x:c r="D29" s="33" t="str">
        <x:v>fixture ID·저장소 분리 확인</x:v>
      </x:c>
      <x:c r="E29" s="36" t="str">
        <x:v>통과</x:v>
      </x:c>
      <x:c r="F29" s="33" t="str">
        <x:v>합성값은 요청별 in_memory 저장소만 사용하며 Supabase·SQLite에 기록하지 않음</x:v>
      </x:c>
      <x:c r="G29" s="33" t="str">
        <x:v>lib/synthetic.ts, public-contract.json, https://real-info-board.vercel.app/lab</x:v>
      </x:c>
      <x:c r="H29" s="33" t="str">
        <x:v>없음</x:v>
      </x:c>
      <x:c r="I29" s="1"/>
      <x:c r="J29" s="1"/>
      <x:c r="K29" s="1"/>
      <x:c r="L29" s="1"/>
      <x:c r="M29" s="1"/>
      <x:c r="N29" s="1"/>
    </x:row>
    <x:row r="30" ht="48" customHeight="1">
      <x:c r="A30" s="32" t="str">
        <x:v>T04-C27</x:v>
      </x:c>
      <x:c r="B30" s="32" t="str">
        <x:v>제출문</x:v>
      </x:c>
      <x:c r="C30" s="33" t="str">
        <x:v>4요소가 구분된 짧은 확인 방법이 있다.</x:v>
      </x:c>
      <x:c r="D30" s="33" t="str">
        <x:v>현재 저장소 제출문 검색</x:v>
      </x:c>
      <x:c r="E30" s="36" t="str">
        <x:v>통과</x:v>
      </x:c>
      <x:c r="F30" s="33" t="str">
        <x:v>위치·3단계 행동·통과 모습·실패 모습을 4줄로 구분</x:v>
      </x:c>
      <x:c r="G30" s="33" t="str">
        <x:v>SUBMISSION.md</x:v>
      </x:c>
      <x:c r="H30" s="33" t="str">
        <x:v>없음</x:v>
      </x:c>
      <x:c r="I30" s="1"/>
      <x:c r="J30" s="1"/>
      <x:c r="K30" s="1"/>
      <x:c r="L30" s="1"/>
      <x:c r="M30" s="1"/>
      <x:c r="N30" s="1"/>
    </x:row>
    <x:row r="31" ht="48" customHeight="1">
      <x:c r="A31" s="34" t="str">
        <x:v>T04-C28</x:v>
      </x:c>
      <x:c r="B31" s="34" t="str">
        <x:v>제출문</x:v>
      </x:c>
      <x:c r="C31" s="35" t="str">
        <x:v>AI와 본인 판단 3요소가 구분된 제출문이 있다.</x:v>
      </x:c>
      <x:c r="D31" s="35" t="str">
        <x:v>현재 저장소 제출문 검색</x:v>
      </x:c>
      <x:c r="E31" s="37" t="str">
        <x:v>통과</x:v>
      </x:c>
      <x:c r="F31" s="35" t="str">
        <x:v>AI 역할·직접 판단·따르지 않은 제안을 3줄로 구분</x:v>
      </x:c>
      <x:c r="G31" s="35" t="str">
        <x:v>SUBMISSION.md</x:v>
      </x:c>
      <x:c r="H31" s="35" t="str">
        <x:v>없음</x:v>
      </x:c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conditionalFormatting sqref="E5:E31">
    <x:cfRule type="containsText" dxfId="0" priority="1" operator="containsText" text="통과"/>
    <x:cfRule type="containsText" dxfId="1" priority="2" operator="containsText" text="부분 충족"/>
    <x:cfRule type="containsText" dxfId="2" priority="3" operator="containsText" text="미검증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1E6B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23" hidden="0" customWidth="1"/>
    <x:col min="5" max="5" width="25" hidden="0" customWidth="1"/>
    <x:col min="6" max="6" width="25" hidden="0" customWidth="1"/>
    <x:col min="7" max="7" width="14" hidden="0" customWidth="1"/>
    <x:col min="8" max="8" width="10" hidden="0" customWidth="1"/>
    <x:col min="9" max="9" width="12" hidden="0" customWidth="1"/>
    <x:col min="10" max="10" width="12" hidden="0" customWidth="1"/>
    <x:col min="11" max="11" width="13" hidden="0" customWidth="1"/>
    <x:col min="12" max="12" width="68" hidden="0" customWidth="1"/>
    <x:col min="13" max="13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실제 KST 2일 데이터 대조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27" t="str">
        <x:v>Supabase submission_evidence와 운영 홈에 표시된 실제 수집본을 대조했습니다.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40" customHeight="1">
      <x:c r="A4" s="31" t="str">
        <x:v>기록</x:v>
      </x:c>
      <x:c r="B4" s="31" t="str">
        <x:v>KST 날짜</x:v>
      </x:c>
      <x:c r="C4" s="31" t="str">
        <x:v>관측기</x:v>
      </x:c>
      <x:c r="D4" s="31" t="str">
        <x:v>원문 관측 시각</x:v>
      </x:c>
      <x:c r="E4" s="31" t="str">
        <x:v>정규화 관측 시각 (UTC)</x:v>
      </x:c>
      <x:c r="F4" s="31" t="str">
        <x:v>조회 시각 (UTC)</x:v>
      </x:c>
      <x:c r="G4" s="31" t="str">
        <x:v>원자료 값</x:v>
      </x:c>
      <x:c r="H4" s="31" t="str">
        <x:v>단위</x:v>
      </x:c>
      <x:c r="I4" s="31" t="str">
        <x:v>저장값</x:v>
      </x:c>
      <x:c r="J4" s="31" t="str">
        <x:v>화면값</x:v>
      </x:c>
      <x:c r="K4" s="31" t="str">
        <x:v>저장-화면</x:v>
      </x:c>
      <x:c r="L4" s="31" t="str">
        <x:v>원자료 SHA-256</x:v>
      </x:c>
      <x:c r="M4" s="31" t="str">
        <x:v>원천 URL</x:v>
      </x:c>
      <x:c r="N4" s="1"/>
    </x:row>
    <x:row r="5" ht="34" customHeight="1">
      <x:c r="A5" s="1" t="str">
        <x:v>D1</x:v>
      </x:c>
      <x:c r="B5" s="38" t="n">
        <x:v>46274</x:v>
      </x:c>
      <x:c r="C5" s="1" t="str">
        <x:v>SOLAR1</x:v>
      </x:c>
      <x:c r="D5" s="1" t="str">
        <x:v>2026-09-09T13:18:00</x:v>
      </x:c>
      <x:c r="E5" s="39" t="n">
        <x:v>46274.55416666667</x:v>
      </x:c>
      <x:c r="F5" s="39" t="n">
        <x:v>46274.557835416665</x:v>
      </x:c>
      <x:c r="G5" s="24" t="n">
        <x:v>438.4</x:v>
      </x:c>
      <x:c r="H5" s="24" t="str">
        <x:v>km/s</x:v>
      </x:c>
      <x:c r="I5" s="24" t="n">
        <x:v>438.4</x:v>
      </x:c>
      <x:c r="J5" s="24" t="n">
        <x:v>438.4</x:v>
      </x:c>
      <x:c r="K5" s="1" t="str">
        <x:f>IF(ABS(I5-J5)&lt;0.0001,"일치","불일치")</x:f>
        <x:v>일치</x:v>
      </x:c>
      <x:c r="L5" s="1" t="str">
        <x:v>d27a0899a4623e123240bd85c9f3a153d4ef977ae5d353f7c5af6a7639194fb2</x:v>
      </x:c>
      <x:c r="M5" s="1" t="str">
        <x:v>https://services.swpc.noaa.gov/json/rtsw/rtsw_wind_1m.json</x:v>
      </x:c>
      <x:c r="N5" s="1"/>
    </x:row>
    <x:row r="6" ht="34" customHeight="1">
      <x:c r="A6" s="25" t="str">
        <x:v>D2</x:v>
      </x:c>
      <x:c r="B6" s="40" t="n">
        <x:v>46275</x:v>
      </x:c>
      <x:c r="C6" s="25" t="str">
        <x:v>SOLAR1</x:v>
      </x:c>
      <x:c r="D6" s="25" t="str">
        <x:v>2026-09-10T02:37:00</x:v>
      </x:c>
      <x:c r="E6" s="41" t="n">
        <x:v>46275.10902777778</x:v>
      </x:c>
      <x:c r="F6" s="41" t="n">
        <x:v>46275.11269861111</x:v>
      </x:c>
      <x:c r="G6" s="42" t="n">
        <x:v>439.4</x:v>
      </x:c>
      <x:c r="H6" s="42" t="str">
        <x:v>km/s</x:v>
      </x:c>
      <x:c r="I6" s="42" t="n">
        <x:v>439.4</x:v>
      </x:c>
      <x:c r="J6" s="42" t="n">
        <x:v>439.4</x:v>
      </x:c>
      <x:c r="K6" s="25" t="str">
        <x:f>IF(ABS(I6-J6)&lt;0.0001,"일치","불일치")</x:f>
        <x:v>일치</x:v>
      </x:c>
      <x:c r="L6" s="25" t="str">
        <x:v>8da9d9a5540f33d5b770a8e1e6047cb408eecef43bf1a2773d907b818128a985</x:v>
      </x:c>
      <x:c r="M6" s="25" t="str">
        <x:v>https://services.swpc.noaa.gov/json/rtsw/rtsw_wind_1m.json</x:v>
      </x:c>
      <x:c r="N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23" t="str">
        <x:v>변화량 검증</x:v>
      </x:c>
      <x:c r="B9" s="23" t="str">
        <x:v>D1</x:v>
      </x:c>
      <x:c r="C9" s="23" t="str">
        <x:v>D2</x:v>
      </x:c>
      <x:c r="D9" s="23" t="str">
        <x:v>재계산</x:v>
      </x:c>
      <x:c r="E9" s="23" t="str">
        <x:v>증거 화면</x:v>
      </x:c>
      <x:c r="F9" s="43" t="str">
        <x:v>일치 여부</x:v>
      </x:c>
      <x:c r="G9" s="43" t="str">
        <x:v>결과</x:v>
      </x:c>
      <x:c r="H9" s="1"/>
      <x:c r="I9" s="1"/>
      <x:c r="J9" s="1"/>
      <x:c r="K9" s="1"/>
      <x:c r="L9" s="1"/>
      <x:c r="M9" s="1"/>
      <x:c r="N9" s="1"/>
    </x:row>
    <x:row r="10">
      <x:c r="A10" s="1" t="str">
        <x:v>D2-D1 (km/s)</x:v>
      </x:c>
      <x:c r="B10" s="24" t="n">
        <x:f>I5</x:f>
        <x:v>438.4</x:v>
      </x:c>
      <x:c r="C10" s="24" t="n">
        <x:f>I6</x:f>
        <x:v>439.4</x:v>
      </x:c>
      <x:c r="D10" s="24" t="n">
        <x:f>C10-B10</x:f>
        <x:v>1</x:v>
      </x:c>
      <x:c r="E10" s="24" t="n">
        <x:f>J6-J5</x:f>
        <x:v>1</x:v>
      </x:c>
      <x:c r="F10" s="1" t="str">
        <x:f>IF(ABS(D10-E10)&lt;0.0001,"일치","불일치")</x:f>
        <x:v>일치</x:v>
      </x:c>
      <x:c r="G10" s="1" t="str">
        <x:f>IF(D10&gt;=0,"+","")&amp;TEXT(D10,"0.0")&amp;" km/s"</x:f>
        <x:v>+1.0 km/s</x:v>
      </x:c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43" t="str">
        <x:v>비교 화면</x:v>
      </x:c>
      <x:c r="B13" s="43" t="str">
        <x:v>D1 값</x:v>
      </x:c>
      <x:c r="C13" s="43" t="str">
        <x:v>D2 값</x:v>
      </x:c>
      <x:c r="D13" s="43" t="str">
        <x:v>변화량</x:v>
      </x:c>
      <x:c r="E13" s="43" t="str">
        <x:v>증거 D1과 차이</x:v>
      </x:c>
      <x:c r="F13" s="43" t="str">
        <x:v>판정</x:v>
      </x:c>
      <x:c r="G13" s="1"/>
      <x:c r="H13" s="1"/>
      <x:c r="I13" s="1"/>
      <x:c r="J13" s="1"/>
      <x:c r="K13" s="1"/>
      <x:c r="L13" s="1"/>
      <x:c r="M13" s="1"/>
      <x:c r="N13" s="1"/>
    </x:row>
    <x:row r="14">
      <x:c r="A14" s="1" t="str">
        <x:v>증거 화면 /evidence</x:v>
      </x:c>
      <x:c r="B14" s="24" t="n">
        <x:f>I5</x:f>
        <x:v>438.4</x:v>
      </x:c>
      <x:c r="C14" s="24" t="n">
        <x:f>I6</x:f>
        <x:v>439.4</x:v>
      </x:c>
      <x:c r="D14" s="24" t="n">
        <x:f>C14-B14</x:f>
        <x:v>1</x:v>
      </x:c>
      <x:c r="E14" s="24" t="n">
        <x:f>B14-I5</x:f>
        <x:v>0</x:v>
      </x:c>
      <x:c r="F14" s="1" t="str">
        <x:f>IF(ABS(D14-('실제 데이터'!C10-'실제 데이터'!B10))&lt;0.0001,"일치","불일치")</x:f>
        <x:v>일치</x:v>
      </x:c>
      <x:c r="G14" s="1"/>
      <x:c r="H14" s="1"/>
      <x:c r="I14" s="1"/>
      <x:c r="J14" s="1"/>
      <x:c r="K14" s="1"/>
      <x:c r="L14" s="1"/>
      <x:c r="M14" s="1"/>
      <x:c r="N14" s="1"/>
    </x:row>
    <x:row r="15">
      <x:c r="A15" s="25" t="str">
        <x:v>홈 관측 일지 /</x:v>
      </x:c>
      <x:c r="B15" s="42" t="n">
        <x:f>J5</x:f>
        <x:v>438.4</x:v>
      </x:c>
      <x:c r="C15" s="42" t="n">
        <x:f>J6</x:f>
        <x:v>439.4</x:v>
      </x:c>
      <x:c r="D15" s="42" t="n">
        <x:f>C15-B15</x:f>
        <x:v>1</x:v>
      </x:c>
      <x:c r="E15" s="42" t="n">
        <x:f>B15-I5</x:f>
        <x:v>0</x:v>
      </x:c>
      <x:c r="F15" s="45" t="str">
        <x:f>IF(AND(ABS(B15-I5)&lt;0.0001,ABS(C15-I6)&lt;0.0001),"일치","불일치")</x:f>
        <x:v>일치</x:v>
      </x:c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44" customHeight="1">
      <x:c r="A17" s="46" t="str">
        <x:v>해석</x:v>
      </x:c>
      <x:c r="B17" s="48" t="str">
        <x:v>Supabase의 두 실제 날짜 기록과 홈·근거 화면이 같은 일별 버전을 사용합니다. 두 화면의 값과 변화량이 일치하며, 같은 날짜의 최신 정상 조회는 일별 기록과 제출 근거를 함께 갱신합니다.</x:v>
      </x:c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conditionalFormatting sqref="K5:K6">
    <x:cfRule type="containsText" dxfId="3" priority="1" operator="containsText" text="일치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7" hidden="0" customWidth="1"/>
    <x:col min="4" max="4" width="36" hidden="0" customWidth="1"/>
    <x:col min="5" max="5" width="15" hidden="0" customWidth="1"/>
    <x:col min="6" max="6" width="34" hidden="0" customWidth="1"/>
  </x:cols>
  <x:sheetData>
    <x:row r="1">
      <x:c r="A1" s="67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운영 테스트 로그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27" t="str">
        <x:v>실행일 2026-09-10 KST · 환경: Vercel / Next.js 16.3.4 / Supabase · 코드 commit fe64094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2" customHeight="1">
      <x:c r="A4" s="30" t="str">
        <x:v>검사</x:v>
      </x:c>
      <x:c r="B4" s="30" t="str">
        <x:v>실행 방법</x:v>
      </x:c>
      <x:c r="C4" s="30" t="str">
        <x:v>기대 결과</x:v>
      </x:c>
      <x:c r="D4" s="30" t="str">
        <x:v>실제 결과</x:v>
      </x:c>
      <x:c r="E4" s="30" t="str">
        <x:v>상태</x:v>
      </x:c>
      <x:c r="F4" s="30" t="str">
        <x:v>근거 시각·위치</x:v>
      </x:c>
      <x:c r="G4" s="1"/>
      <x:c r="H4" s="1"/>
      <x:c r="I4" s="1"/>
      <x:c r="J4" s="1"/>
      <x:c r="K4" s="1"/>
      <x:c r="L4" s="1"/>
      <x:c r="M4" s="1"/>
      <x:c r="N4" s="1"/>
    </x:row>
    <x:row r="5" ht="34" customHeight="1">
      <x:c r="A5" s="1" t="str">
        <x:v>TypeScript</x:v>
      </x:c>
      <x:c r="B5" s="49" t="str">
        <x:v>npm run typecheck</x:v>
      </x:c>
      <x:c r="C5" s="49" t="str">
        <x:v>오류 0건</x:v>
      </x:c>
      <x:c r="D5" s="49" t="str">
        <x:v>exit 0</x:v>
      </x:c>
      <x:c r="E5" s="49" t="str">
        <x:v>통과</x:v>
      </x:c>
      <x:c r="F5" s="49" t="str">
        <x:v>2026-09-10 10:50 KST</x:v>
      </x:c>
      <x:c r="G5" s="1"/>
      <x:c r="H5" s="1"/>
      <x:c r="I5" s="1"/>
      <x:c r="J5" s="1"/>
      <x:c r="K5" s="1"/>
      <x:c r="L5" s="1"/>
      <x:c r="M5" s="1"/>
      <x:c r="N5" s="1"/>
    </x:row>
    <x:row r="6" ht="34" customHeight="1">
      <x:c r="A6" s="1" t="str">
        <x:v>ESLint</x:v>
      </x:c>
      <x:c r="B6" s="49" t="str">
        <x:v>npm run lint</x:v>
      </x:c>
      <x:c r="C6" s="49" t="str">
        <x:v>오류 0건</x:v>
      </x:c>
      <x:c r="D6" s="49" t="str">
        <x:v>exit 0</x:v>
      </x:c>
      <x:c r="E6" s="49" t="str">
        <x:v>통과</x:v>
      </x:c>
      <x:c r="F6" s="49" t="str">
        <x:v>2026-09-10 10:50 KST</x:v>
      </x:c>
      <x:c r="G6" s="1"/>
      <x:c r="H6" s="1"/>
      <x:c r="I6" s="1"/>
      <x:c r="J6" s="1"/>
      <x:c r="K6" s="1"/>
      <x:c r="L6" s="1"/>
      <x:c r="M6" s="1"/>
      <x:c r="N6" s="1"/>
    </x:row>
    <x:row r="7" ht="34" customHeight="1">
      <x:c r="A7" s="1" t="str">
        <x:v>단위·통합 테스트</x:v>
      </x:c>
      <x:c r="B7" s="49" t="str">
        <x:v>npm test</x:v>
      </x:c>
      <x:c r="C7" s="49" t="str">
        <x:v>전체 통과</x:v>
      </x:c>
      <x:c r="D7" s="49" t="str">
        <x:v>7 files / 16 tests passed</x:v>
      </x:c>
      <x:c r="E7" s="49" t="str">
        <x:v>통과</x:v>
      </x:c>
      <x:c r="F7" s="49" t="str">
        <x:v>Vitest 5.0.0 · 4.14s</x:v>
      </x:c>
      <x:c r="G7" s="1"/>
      <x:c r="H7" s="1"/>
      <x:c r="I7" s="1"/>
      <x:c r="J7" s="1"/>
      <x:c r="K7" s="1"/>
      <x:c r="L7" s="1"/>
      <x:c r="M7" s="1"/>
      <x:c r="N7" s="1"/>
    </x:row>
    <x:row r="8" ht="34" customHeight="1">
      <x:c r="A8" s="1" t="str">
        <x:v>프로덕션 빌드</x:v>
      </x:c>
      <x:c r="B8" s="49" t="str">
        <x:v>npm run build</x:v>
      </x:c>
      <x:c r="C8" s="49" t="str">
        <x:v>빌드 성공</x:v>
      </x:c>
      <x:c r="D8" s="49" t="str">
        <x:v>Vercel production build 성공 / 7개 route</x:v>
      </x:c>
      <x:c r="E8" s="49" t="str">
        <x:v>통과</x:v>
      </x:c>
      <x:c r="F8" s="49" t="str">
        <x:v>Next.js 16.3.4</x:v>
      </x:c>
      <x:c r="G8" s="1"/>
      <x:c r="H8" s="1"/>
      <x:c r="I8" s="1"/>
      <x:c r="J8" s="1"/>
      <x:c r="K8" s="1"/>
      <x:c r="L8" s="1"/>
      <x:c r="M8" s="1"/>
      <x:c r="N8" s="1"/>
    </x:row>
    <x:row r="9" ht="34" customHeight="1">
      <x:c r="A9" s="1" t="str">
        <x:v>페이지 라우트</x:v>
      </x:c>
      <x:c r="B9" s="49" t="str">
        <x:v>GET /, /evidence, /lab</x:v>
      </x:c>
      <x:c r="C9" s="49" t="str">
        <x:v>HTTP 200</x:v>
      </x:c>
      <x:c r="D9" s="49" t="str">
        <x:v>200 / 200 / 200</x:v>
      </x:c>
      <x:c r="E9" s="49" t="str">
        <x:v>통과</x:v>
      </x:c>
      <x:c r="F9" s="49" t="str">
        <x:v>https://real-info-board.vercel.app</x:v>
      </x:c>
      <x:c r="G9" s="1"/>
      <x:c r="H9" s="1"/>
      <x:c r="I9" s="1"/>
      <x:c r="J9" s="1"/>
      <x:c r="K9" s="1"/>
      <x:c r="L9" s="1"/>
      <x:c r="M9" s="1"/>
      <x:c r="N9" s="1"/>
    </x:row>
    <x:row r="10" ht="34" customHeight="1">
      <x:c r="A10" s="1" t="str">
        <x:v>실제 데이터</x:v>
      </x:c>
      <x:c r="B10" s="49" t="str">
        <x:v>GET /api/board</x:v>
      </x:c>
      <x:c r="C10" s="49" t="str">
        <x:v>fresh 실제값</x:v>
      </x:c>
      <x:c r="D10" s="49" t="str">
        <x:v>SOLAR1 439.4 km/s / +1.0</x:v>
      </x:c>
      <x:c r="E10" s="49" t="str">
        <x:v>통과</x:v>
      </x:c>
      <x:c r="F10" s="49" t="str">
        <x:v>운영 /api/board</x:v>
      </x:c>
      <x:c r="G10" s="1"/>
      <x:c r="H10" s="1"/>
      <x:c r="I10" s="1"/>
      <x:c r="J10" s="1"/>
      <x:c r="K10" s="1"/>
      <x:c r="L10" s="1"/>
      <x:c r="M10" s="1"/>
      <x:c r="N10" s="1"/>
    </x:row>
    <x:row r="11" ht="34" customHeight="1">
      <x:c r="A11" s="1" t="str">
        <x:v>실제 2일 증거</x:v>
      </x:c>
      <x:c r="B11" s="49" t="str">
        <x:v>GET /api/evidence</x:v>
      </x:c>
      <x:c r="C11" s="49" t="str">
        <x:v>2건·complete</x:v>
      </x:c>
      <x:c r="D11" s="49" t="str">
        <x:v>2건 / complete true / +1.0</x:v>
      </x:c>
      <x:c r="E11" s="49" t="str">
        <x:v>통과</x:v>
      </x:c>
      <x:c r="F11" s="49" t="str">
        <x:v>Supabase submission_evidence</x:v>
      </x:c>
      <x:c r="G11" s="1"/>
      <x:c r="H11" s="1"/>
      <x:c r="I11" s="1"/>
      <x:c r="J11" s="1"/>
      <x:c r="K11" s="1"/>
      <x:c r="L11" s="1"/>
      <x:c r="M11" s="1"/>
      <x:c r="N11" s="1"/>
    </x:row>
    <x:row r="12" ht="34" customHeight="1">
      <x:c r="A12" s="1" t="str">
        <x:v>비밀값 검색</x:v>
      </x:c>
      <x:c r="B12" s="49" t="str">
        <x:v>추적 파일 + .next/static 패턴 검색</x:v>
      </x:c>
      <x:c r="C12" s="49" t="str">
        <x:v>원문 0건</x:v>
      </x:c>
      <x:c r="D12" s="49" t="str">
        <x:v>Git 0건 / 운영 JS 8개 0건</x:v>
      </x:c>
      <x:c r="E12" s="49" t="str">
        <x:v>통과</x:v>
      </x:c>
      <x:c r="F12" s="49" t="str">
        <x:v>Git 및 Vercel 정적 번들</x:v>
      </x:c>
      <x:c r="G12" s="1"/>
      <x:c r="H12" s="1"/>
      <x:c r="I12" s="1"/>
      <x:c r="J12" s="1"/>
      <x:c r="K12" s="1"/>
      <x:c r="L12" s="1"/>
      <x:c r="M12" s="1"/>
      <x:c r="N12" s="1"/>
    </x:row>
    <x:row r="13" ht="34" customHeight="1">
      <x:c r="A13" s="1" t="str">
        <x:v>constitution 보존</x:v>
      </x:c>
      <x:c r="B13" s="49" t="str">
        <x:v>SHA-256</x:v>
      </x:c>
      <x:c r="C13" s="49" t="str">
        <x:v>기준 해시 일치</x:v>
      </x:c>
      <x:c r="D13" s="49" t="str">
        <x:v>CBA16EB9…59CE85C</x:v>
      </x:c>
      <x:c r="E13" s="49" t="str">
        <x:v>통과</x:v>
      </x:c>
      <x:c r="F13" s="49" t="str">
        <x:v>constitution.txt 변경 없음</x:v>
      </x:c>
      <x:c r="G13" s="1"/>
      <x:c r="H13" s="1"/>
      <x:c r="I13" s="1"/>
      <x:c r="J13" s="1"/>
      <x:c r="K13" s="1"/>
      <x:c r="L13" s="1"/>
      <x:c r="M13" s="1"/>
      <x:c r="N13" s="1"/>
    </x:row>
    <x:row r="14" ht="34" customHeight="1">
      <x:c r="A14" s="1" t="str">
        <x:v>느린 응답</x:v>
      </x:c>
      <x:c r="B14" s="49" t="str">
        <x:v>ALT-T04-SLOW</x:v>
      </x:c>
      <x:c r="C14" s="49" t="str">
        <x:v>격리 adapter 재생</x:v>
      </x:c>
      <x:c r="D14" s="49" t="str">
        <x:v>421.6 / stale / slow_response / 1→1 / +0 / 보존</x:v>
      </x:c>
      <x:c r="E14" s="49" t="str">
        <x:v>통과</x:v>
      </x:c>
      <x:c r="F14" s="49" t="str">
        <x:v>Vercel /api/lab · in_memory</x:v>
      </x:c>
      <x:c r="G14" s="1"/>
      <x:c r="H14" s="1"/>
      <x:c r="I14" s="1"/>
      <x:c r="J14" s="1"/>
      <x:c r="K14" s="1"/>
      <x:c r="L14" s="1"/>
      <x:c r="M14" s="1"/>
      <x:c r="N14" s="1"/>
    </x:row>
    <x:row r="15" ht="34" customHeight="1">
      <x:c r="A15" s="1" t="str">
        <x:v>접근 거절</x:v>
      </x:c>
      <x:c r="B15" s="49" t="str">
        <x:v>ALT-T04-DENIED</x:v>
      </x:c>
      <x:c r="C15" s="49" t="str">
        <x:v>격리 adapter 재생</x:v>
      </x:c>
      <x:c r="D15" s="49" t="str">
        <x:v>421.6 / stale / upstream_denied / 1→1 / +0 / 보존</x:v>
      </x:c>
      <x:c r="E15" s="49" t="str">
        <x:v>통과</x:v>
      </x:c>
      <x:c r="F15" s="49" t="str">
        <x:v>Vercel /api/lab · in_memory</x:v>
      </x:c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 t="str">
        <x:v>호출 제한</x:v>
      </x:c>
      <x:c r="B16" s="49" t="str">
        <x:v>ALT-T04-RATE-LIMIT</x:v>
      </x:c>
      <x:c r="C16" s="49" t="str">
        <x:v>격리 adapter 재생</x:v>
      </x:c>
      <x:c r="D16" s="49" t="str">
        <x:v>421.6 / stale / rate_limited / 1→1 / +0 / 보존</x:v>
      </x:c>
      <x:c r="E16" s="49" t="str">
        <x:v>통과</x:v>
      </x:c>
      <x:c r="F16" s="49" t="str">
        <x:v>Vercel /api/lab · in_memory</x:v>
      </x:c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 t="str">
        <x:v>오프라인</x:v>
      </x:c>
      <x:c r="B17" s="49" t="str">
        <x:v>ALT-T04-OFFLINE</x:v>
      </x:c>
      <x:c r="C17" s="49" t="str">
        <x:v>격리 adapter 재생</x:v>
      </x:c>
      <x:c r="D17" s="49" t="str">
        <x:v>421.6 / stale / offline / 1→1 / +0 / 보존</x:v>
      </x:c>
      <x:c r="E17" s="49" t="str">
        <x:v>통과</x:v>
      </x:c>
      <x:c r="F17" s="49" t="str">
        <x:v>Vercel /api/lab · in_memory</x:v>
      </x:c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 t="str">
        <x:v>형식 변경</x:v>
      </x:c>
      <x:c r="B18" s="49" t="str">
        <x:v>ALT-T04-FORMAT</x:v>
      </x:c>
      <x:c r="C18" s="49" t="str">
        <x:v>격리 adapter 재생</x:v>
      </x:c>
      <x:c r="D18" s="49" t="str">
        <x:v>421.6 / stale / format_changed / 1→1 / +0 / 보존</x:v>
      </x:c>
      <x:c r="E18" s="49" t="str">
        <x:v>통과</x:v>
      </x:c>
      <x:c r="F18" s="49" t="str">
        <x:v>Vercel /api/lab · in_memory</x:v>
      </x:c>
      <x:c r="G18" s="1"/>
      <x:c r="H18" s="1"/>
      <x:c r="I18" s="1"/>
      <x:c r="J18" s="1"/>
      <x:c r="K18" s="1"/>
      <x:c r="L18" s="1"/>
      <x:c r="M18" s="1"/>
      <x:c r="N18" s="1"/>
    </x:row>
    <x:row r="19" ht="34" customHeight="1">
      <x:c r="A19" s="25" t="str">
        <x:v>복구</x:v>
      </x:c>
      <x:c r="B19" s="50" t="str">
        <x:v>ALT-T04-RECOVER-D2</x:v>
      </x:c>
      <x:c r="C19" s="50" t="str">
        <x:v>격리 adapter 재생</x:v>
      </x:c>
      <x:c r="D19" s="50" t="str">
        <x:v>447.2 / fresh / none / 1→2 / +1 / 중복 후 2건</x:v>
      </x:c>
      <x:c r="E19" s="50" t="str">
        <x:v>통과</x:v>
      </x:c>
      <x:c r="F19" s="50" t="str">
        <x:v>Vercel /api/lab · in_memory</x:v>
      </x:c>
      <x:c r="G19" s="1"/>
      <x:c r="H19" s="1"/>
      <x:c r="I19" s="1"/>
      <x:c r="J19" s="1"/>
      <x:c r="K19" s="1"/>
      <x:c r="L19" s="1"/>
      <x:c r="M19" s="1"/>
      <x:c r="N19" s="1"/>
    </x:row>
    <x:row r="20">
      <x:c r="A20" s="68" t="str">
        <x:v>PC 화면</x:v>
      </x:c>
      <x:c r="B20" s="68" t="str">
        <x:v>로컬 실제 렌더링 확인</x:v>
      </x:c>
      <x:c r="C20" s="68" t="str">
        <x:v>별 배경·관측 패널·NASA 사진·수치 표시</x:v>
      </x:c>
      <x:c r="D20" s="68" t="str">
        <x:v>별 배경·관측 패널·NASA 사진·실제 수치 표시</x:v>
      </x:c>
      <x:c r="E20" s="75" t="str">
        <x:v>통과</x:v>
      </x:c>
      <x:c r="F20" s="68" t="str">
        <x:v>Vercel 운영 브라우저</x:v>
      </x:c>
      <x:c r="G20" s="1"/>
      <x:c r="H20" s="1"/>
      <x:c r="I20" s="1"/>
      <x:c r="J20" s="1"/>
      <x:c r="K20" s="1"/>
      <x:c r="L20" s="1"/>
      <x:c r="M20" s="1"/>
      <x:c r="N20" s="1"/>
    </x:row>
    <x:row r="21">
      <x:c r="A21" s="25" t="str">
        <x:v>모바일 화면</x:v>
      </x:c>
      <x:c r="B21" s="25" t="str">
        <x:v>390 × 844 반응형 확인</x:v>
      </x:c>
      <x:c r="C21" s="25" t="str">
        <x:v>가로 넘침 없이 핵심 정보 표시</x:v>
      </x:c>
      <x:c r="D21" s="25" t="str">
        <x:v>scrollWidth 375 ≤ viewport 390</x:v>
      </x:c>
      <x:c r="E21" s="76" t="str">
        <x:v>통과</x:v>
      </x:c>
      <x:c r="F21" s="25" t="str">
        <x:v>로컬 반응형 검사</x:v>
      </x:c>
      <x:c r="G21" s="1"/>
      <x:c r="H21" s="1"/>
      <x:c r="I21" s="1"/>
      <x:c r="J21" s="1"/>
      <x:c r="K21" s="1"/>
      <x:c r="L21" s="1"/>
      <x:c r="M21" s="1"/>
      <x:c r="N21" s="1"/>
    </x:row>
    <x:row r="22">
      <x:c r="A22" s="22" t="str">
        <x:v>출처</x:v>
      </x:c>
      <x:c r="B22" s="22" t="str">
        <x:v>주소 또는 위치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 t="str">
        <x:v>헌법</x:v>
      </x:c>
      <x:c r="B23" s="1" t="str">
        <x:v>constitution.txt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 t="str">
        <x:v>GitHub 소스</x:v>
      </x:c>
      <x:c r="B24" s="1" t="str">
        <x:v>https://github.com/hyeseong-dev/real_info_board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 t="str">
        <x:v>NOAA 실제 JSON</x:v>
      </x:c>
      <x:c r="B25" s="1" t="str">
        <x:v>https://services.swpc.noaa.gov/json/rtsw/rtsw_wind_1m.json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 t="str">
        <x:v>NOAA Solar Wind 설명</x:v>
      </x:c>
      <x:c r="B26" s="1" t="str">
        <x:v>https://www.spaceweather.gov/products/solar-wind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 t="str">
        <x:v>운영 결과물</x:v>
      </x:c>
      <x:c r="B27" s="1" t="str">
        <x:v>https://real-info-board.vercel.app</x:v>
      </x:c>
      <x:c r="C27" s="1" t="str"/>
      <x:c r="D27" s="1" t="str"/>
      <x:c r="E27" s="1" t="str"/>
      <x:c r="F27" s="1" t="str"/>
      <x:c r="G27" s="1"/>
      <x:c r="H27" s="1"/>
      <x:c r="I27" s="1"/>
      <x:c r="J27" s="1"/>
      <x:c r="K27" s="1"/>
      <x:c r="L27" s="1"/>
      <x:c r="M27" s="1"/>
      <x:c r="N27" s="1"/>
    </x:row>
    <x:row r="28" ht="72" customHeight="1">
      <x:c r="A28" s="50" t="str">
        <x:v>승인 대체 T04 package</x:v>
      </x:c>
      <x:c r="B28" s="50" t="str">
        <x:v>ALT-T04-COSMIC-PULSE-V1 · assets/studio-task-assets/t04-real-information-board/</x:v>
      </x:c>
      <x:c r="C28" s="49" t="str">
        <x:v>README SHA-256 5df7886b5d7669110708c2dde36a1c04683d679c84c64e72fa84899864b07356</x:v>
      </x:c>
      <x:c r="D28" s="49" t="str">
        <x:v>contract SHA-256 b90c8ea8b6a0b86119a8f86261d51c58a66463b79b0bbcecbd26e72d89f1f020</x:v>
      </x:c>
      <x:c r="E28" s="49" t="str">
        <x:v>manifest 자동 검증 통과</x:v>
      </x:c>
      <x:c r="F28" s="49" t="str">
        <x:v>https://github.com/hyeseong-dev/real_info_board</x:v>
      </x:c>
      <x:c r="G28" s="1"/>
      <x:c r="H28" s="1"/>
      <x:c r="I28" s="1"/>
      <x:c r="J28" s="1"/>
      <x:c r="K28" s="1"/>
      <x:c r="L28" s="1"/>
      <x:c r="M28" s="1"/>
      <x:c r="N28" s="1"/>
    </x:row>
    <x:row r="29" ht="34" customHeight="1">
      <x:c r="A29" s="1" t="str">
        <x:v>NASA SDO 193Å 사진</x:v>
      </x:c>
      <x:c r="B29" s="49" t="str">
        <x:v>https://sdo.gsfc.nasa.gov/assets/img/latest/latest_1024_0193.jpg</x:v>
      </x:c>
      <x:c r="C29" s="1" t="str">
        <x:v>HTTP 200 / image/jpeg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pageMargins left="0.7" right="0.7" top="0.75" bottom="0.75" header="0.3" footer="0.3"/>
</x:worksheet>
</file>